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aanv\OneDrive\Documenten\Mijn Documenten\Master\Sustainability Challenge\"/>
    </mc:Choice>
  </mc:AlternateContent>
  <xr:revisionPtr revIDLastSave="0" documentId="13_ncr:1_{5D02C0F6-4619-4644-9D4C-5B5B6C4E1DEB}" xr6:coauthVersionLast="47" xr6:coauthVersionMax="47" xr10:uidLastSave="{00000000-0000-0000-0000-000000000000}"/>
  <bookViews>
    <workbookView xWindow="-103" yWindow="-103" windowWidth="22149" windowHeight="13200" xr2:uid="{6317F4C0-D264-4038-B546-95477422B88D}"/>
  </bookViews>
  <sheets>
    <sheet name="Electricity grid infrastructur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2" i="1" l="1"/>
  <c r="O62" i="1" s="1"/>
  <c r="N61" i="1"/>
  <c r="O61" i="1" s="1"/>
  <c r="Q61" i="1" s="1"/>
  <c r="N60" i="1"/>
  <c r="O60" i="1" s="1"/>
  <c r="N59" i="1"/>
  <c r="O59" i="1" s="1"/>
  <c r="N58" i="1"/>
  <c r="O58" i="1" s="1"/>
  <c r="N57" i="1"/>
  <c r="O57" i="1" s="1"/>
  <c r="N56" i="1"/>
  <c r="O56" i="1" s="1"/>
  <c r="N55" i="1"/>
  <c r="O55" i="1" s="1"/>
  <c r="N54" i="1"/>
  <c r="O54" i="1" s="1"/>
  <c r="Q54" i="1" l="1"/>
  <c r="P54" i="1"/>
  <c r="P55" i="1"/>
  <c r="Q55" i="1"/>
  <c r="P56" i="1"/>
  <c r="Q56" i="1"/>
  <c r="Q57" i="1"/>
  <c r="P57" i="1"/>
  <c r="Q58" i="1"/>
  <c r="P58" i="1"/>
  <c r="Q59" i="1"/>
  <c r="P59" i="1"/>
  <c r="Q60" i="1"/>
  <c r="P60" i="1"/>
  <c r="Q62" i="1"/>
  <c r="P62" i="1"/>
  <c r="P61" i="1"/>
</calcChain>
</file>

<file path=xl/sharedStrings.xml><?xml version="1.0" encoding="utf-8"?>
<sst xmlns="http://schemas.openxmlformats.org/spreadsheetml/2006/main" count="96" uniqueCount="77">
  <si>
    <t>Grid data (see below for refs)</t>
  </si>
  <si>
    <t>Level</t>
  </si>
  <si>
    <t>NL term</t>
  </si>
  <si>
    <t>Voltage (kV)</t>
  </si>
  <si>
    <t>Power flow (MW, active)</t>
  </si>
  <si>
    <t>Power factor (PF)</t>
  </si>
  <si>
    <t>line length (km)</t>
  </si>
  <si>
    <t>Losses at operating temp (70dC) in (ohm/km)</t>
  </si>
  <si>
    <t>Typical construction</t>
  </si>
  <si>
    <t>Conductor</t>
  </si>
  <si>
    <t>Typical cross-sections</t>
  </si>
  <si>
    <t>cables per circuit</t>
  </si>
  <si>
    <t>Notes</t>
  </si>
  <si>
    <t>Phase current (A)</t>
  </si>
  <si>
    <t>Loss per km (kW/km)</t>
  </si>
  <si>
    <t>Total loss (kW)</t>
  </si>
  <si>
    <t>Loss per metre (W/m)</t>
  </si>
  <si>
    <t>High voltage lines (380/220 kV)</t>
  </si>
  <si>
    <t>HS</t>
  </si>
  <si>
    <t>Mostly overhead ACSR bundles or underground XLPE</t>
  </si>
  <si>
    <t>Al (with steel core) / Al</t>
  </si>
  <si>
    <t>400mm^2</t>
  </si>
  <si>
    <t>1 per phase (bundles vary)</t>
  </si>
  <si>
    <t>Local high voltage (150/110/50 kV)</t>
  </si>
  <si>
    <t>HS/TS</t>
  </si>
  <si>
    <t>Underground XLPE single-core per phase</t>
  </si>
  <si>
    <t>Al or Cu</t>
  </si>
  <si>
    <t>400-630mm^2</t>
  </si>
  <si>
    <t>3 single-core cables per circuit (L1/L2/L3)</t>
  </si>
  <si>
    <t>Mirrors MS-transport pattern below.</t>
  </si>
  <si>
    <t>Medium voltage (3–25 kV)</t>
  </si>
  <si>
    <t>MV (MS)</t>
  </si>
  <si>
    <t>XLPE insulation with semiconductive screens, copper wire screen, swell tape, PE/PVC sheath</t>
  </si>
  <si>
    <t>Al (common) or Cu</t>
  </si>
  <si>
    <t>Distribution: 16–240 mm² (3-core); Transport: 240–630 mm² (single-core)</t>
  </si>
  <si>
    <t>3-core: 1 cable per circuit; single-core: 3 cables per circuit</t>
  </si>
  <si>
    <t>Examples from phase to phase: 3×240 Al (distribution) and 1×400/630 Al (transport). “as70” = 70 mm² Cu screen.</t>
  </si>
  <si>
    <t>Low voltage (400 V)</t>
  </si>
  <si>
    <t>LV (LS)</t>
  </si>
  <si>
    <t>4-core (3 phases + neutral), PVC or XLPE, Cu screen (meander/S-type), PE/PVC sheath</t>
  </si>
  <si>
    <t>Cu or Al</t>
  </si>
  <si>
    <t>Service drop: 6–16 mm²; LV main: 16–240 mm²</t>
  </si>
  <si>
    <t>1 cable per connection (4 cores)</t>
  </si>
  <si>
    <t>Common plastic type: ALKUDIA; 40% legacy GPLK remains in NL.</t>
  </si>
  <si>
    <t>https://www.stedin.net/zakelijk/open-data/liggingsdata-kabels-en-leidingen</t>
  </si>
  <si>
    <t>Rationale</t>
  </si>
  <si>
    <r>
      <t>Line voltage</t>
    </r>
    <r>
      <rPr>
        <sz val="11"/>
        <color theme="1"/>
        <rFont val="Aptos Narrow"/>
        <family val="2"/>
        <scheme val="minor"/>
      </rPr>
      <t xml:space="preserve"> (kV, line-to-line RMS)</t>
    </r>
  </si>
  <si>
    <t>Functie</t>
  </si>
  <si>
    <t>Niveau</t>
  </si>
  <si>
    <t>Bovengronds (km)</t>
  </si>
  <si>
    <t>Ondergronds (km)</t>
  </si>
  <si>
    <r>
      <t>Active power flow</t>
    </r>
    <r>
      <rPr>
        <sz val="11"/>
        <color theme="1"/>
        <rFont val="Aptos Narrow"/>
        <family val="2"/>
        <scheme val="minor"/>
      </rPr>
      <t xml:space="preserve"> (kW)</t>
    </r>
  </si>
  <si>
    <t>Koppelnet</t>
  </si>
  <si>
    <t>Hoogspanning</t>
  </si>
  <si>
    <t>(220/380 kV)</t>
  </si>
  <si>
    <r>
      <t>Cable resistance</t>
    </r>
    <r>
      <rPr>
        <sz val="11"/>
        <color theme="1"/>
        <rFont val="Aptos Narrow"/>
        <family val="2"/>
        <scheme val="minor"/>
      </rPr>
      <t xml:space="preserve"> (Ω/km, adjusted to operating temperature)</t>
    </r>
  </si>
  <si>
    <t>Transportnet</t>
  </si>
  <si>
    <r>
      <t>Line length</t>
    </r>
    <r>
      <rPr>
        <sz val="11"/>
        <color theme="1"/>
        <rFont val="Aptos Narrow"/>
        <family val="2"/>
        <scheme val="minor"/>
      </rPr>
      <t xml:space="preserve"> (km)</t>
    </r>
  </si>
  <si>
    <t>(50/110/150 kV)</t>
  </si>
  <si>
    <t>Distributie, regionaal</t>
  </si>
  <si>
    <t>Middenspanning</t>
  </si>
  <si>
    <t>(3 t/m 25 kV)</t>
  </si>
  <si>
    <t>Distributie, lokaal</t>
  </si>
  <si>
    <t>Laagspanning</t>
  </si>
  <si>
    <t>(0,4 kV)</t>
  </si>
  <si>
    <t>(outdated) Notes:</t>
  </si>
  <si>
    <t xml:space="preserve">Local Delft electricity lines will be all under ground probably, not sure how relevant the high voltage line data will be. </t>
  </si>
  <si>
    <t>I include supporting infrastructure like alumimium towers for the high voltage in the impacts, but not substations. CO2/km of line type of data was hard to find.</t>
  </si>
  <si>
    <t>Many LCA's take an average for the whole country because they argue that the grid is connected and impacts should therefore be proportionally allocated.</t>
  </si>
  <si>
    <t xml:space="preserve">The only source i could find that did it for the Netherlands in a CO2/km style was in a recent Dutch “ketenanalyse” for grid expansion (“Uitbreidingen elektriciteitsnet”) </t>
  </si>
  <si>
    <t>I found a useful data point: for an underground XLPE 12/20 kV cable (1×240 mm² AlRM/25) the study uses: 1.616 kg cable per metre and an emission factor ~2.5 kg CO₂ per kg cable</t>
  </si>
  <si>
    <t>Sources</t>
  </si>
  <si>
    <t>chapter 2 phase to phase</t>
  </si>
  <si>
    <t>chapter 4 phase to phase</t>
  </si>
  <si>
    <t>NEN-EN 60228:2019 Conductors of insulated cables.</t>
  </si>
  <si>
    <t>Assumption based on https://pure.tue.nl/ws/portalfiles/portal/46919680/638521-2.pdf</t>
  </si>
  <si>
    <t>Technical Basis for Electricity Grid Infrastructure and Loss 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</si>
</sst>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5"/>
      <color theme="3"/>
      <name val="Aptos Narrow"/>
      <family val="2"/>
      <scheme val="minor"/>
    </font>
    <font>
      <b/>
      <sz val="11"/>
      <color theme="1"/>
      <name val="Aptos Narrow"/>
      <family val="2"/>
      <scheme val="minor"/>
    </font>
    <font>
      <sz val="10"/>
      <color theme="1"/>
      <name val="Arial Unicode MS"/>
    </font>
    <font>
      <u/>
      <sz val="11"/>
      <color theme="10"/>
      <name val="Aptos Narrow"/>
      <family val="2"/>
      <scheme val="minor"/>
    </font>
    <font>
      <b/>
      <sz val="8"/>
      <color rgb="FF778182"/>
      <name val="Arial"/>
      <family val="2"/>
    </font>
    <font>
      <sz val="8"/>
      <color rgb="FF778182"/>
      <name val="Arial"/>
      <family val="2"/>
    </font>
  </fonts>
  <fills count="8">
    <fill>
      <patternFill patternType="none"/>
    </fill>
    <fill>
      <patternFill patternType="gray125"/>
    </fill>
    <fill>
      <patternFill patternType="solid">
        <fgColor theme="5"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FF"/>
        <bgColor indexed="64"/>
      </patternFill>
    </fill>
  </fills>
  <borders count="5">
    <border>
      <left/>
      <right/>
      <top/>
      <bottom/>
      <diagonal/>
    </border>
    <border>
      <left/>
      <right/>
      <top/>
      <bottom style="thick">
        <color theme="4"/>
      </bottom>
      <diagonal/>
    </border>
    <border>
      <left style="thin">
        <color rgb="FFCBCBCB"/>
      </left>
      <right style="thin">
        <color rgb="FFCBCBCB"/>
      </right>
      <top style="thin">
        <color rgb="FFCBCBCB"/>
      </top>
      <bottom style="thin">
        <color rgb="FFCBCBCB"/>
      </bottom>
      <diagonal/>
    </border>
    <border>
      <left style="thin">
        <color rgb="FFCBCBCB"/>
      </left>
      <right style="thin">
        <color rgb="FFCBCBCB"/>
      </right>
      <top style="thin">
        <color rgb="FFCBCBCB"/>
      </top>
      <bottom/>
      <diagonal/>
    </border>
    <border>
      <left style="thin">
        <color rgb="FFCBCBCB"/>
      </left>
      <right style="thin">
        <color rgb="FFCBCBCB"/>
      </right>
      <top/>
      <bottom style="thin">
        <color rgb="FFCBCBCB"/>
      </bottom>
      <diagonal/>
    </border>
  </borders>
  <cellStyleXfs count="3">
    <xf numFmtId="0" fontId="0" fillId="0" borderId="0"/>
    <xf numFmtId="0" fontId="1" fillId="0" borderId="1" applyNumberFormat="0" applyFill="0" applyAlignment="0" applyProtection="0"/>
    <xf numFmtId="0" fontId="4" fillId="0" borderId="0" applyNumberFormat="0" applyFill="0" applyBorder="0" applyAlignment="0" applyProtection="0"/>
  </cellStyleXfs>
  <cellXfs count="30">
    <xf numFmtId="0" fontId="0" fillId="0" borderId="0" xfId="0"/>
    <xf numFmtId="0" fontId="0" fillId="0" borderId="0" xfId="0" applyAlignment="1">
      <alignment vertical="center" wrapText="1"/>
    </xf>
    <xf numFmtId="0" fontId="2" fillId="0" borderId="0" xfId="0" applyFont="1" applyAlignment="1">
      <alignment horizontal="left" wrapText="1"/>
    </xf>
    <xf numFmtId="0" fontId="2" fillId="0" borderId="0" xfId="0" applyFont="1" applyAlignment="1">
      <alignment horizontal="center" vertical="center" wrapText="1"/>
    </xf>
    <xf numFmtId="0" fontId="0" fillId="0" borderId="0" xfId="0" applyAlignment="1">
      <alignment horizontal="left" vertical="center" wrapText="1"/>
    </xf>
    <xf numFmtId="0" fontId="0" fillId="2" borderId="0" xfId="0" applyFill="1" applyAlignment="1">
      <alignment horizontal="left" vertical="center" wrapText="1"/>
    </xf>
    <xf numFmtId="0" fontId="0" fillId="2" borderId="0" xfId="0" applyFill="1" applyAlignment="1">
      <alignment horizontal="left"/>
    </xf>
    <xf numFmtId="0" fontId="0" fillId="3" borderId="0" xfId="0" applyFill="1" applyAlignment="1">
      <alignment vertical="center" wrapText="1"/>
    </xf>
    <xf numFmtId="0" fontId="0" fillId="0" borderId="0" xfId="0" applyAlignment="1">
      <alignment horizontal="left"/>
    </xf>
    <xf numFmtId="0" fontId="0" fillId="4" borderId="0" xfId="0" applyFill="1"/>
    <xf numFmtId="0" fontId="0" fillId="5" borderId="0" xfId="0" applyFill="1" applyAlignment="1">
      <alignment horizontal="left" vertical="center" wrapText="1"/>
    </xf>
    <xf numFmtId="0" fontId="0" fillId="6" borderId="0" xfId="0" applyFill="1" applyAlignment="1">
      <alignment horizontal="left" vertical="center" wrapText="1"/>
    </xf>
    <xf numFmtId="0" fontId="3" fillId="0" borderId="0" xfId="0" applyFont="1" applyAlignment="1">
      <alignment horizontal="left" vertical="center" wrapText="1"/>
    </xf>
    <xf numFmtId="0" fontId="4" fillId="0" borderId="0" xfId="2"/>
    <xf numFmtId="2" fontId="0" fillId="0" borderId="0" xfId="0" applyNumberFormat="1" applyAlignment="1">
      <alignment vertical="center" wrapText="1"/>
    </xf>
    <xf numFmtId="0" fontId="5" fillId="7" borderId="2" xfId="0" applyFont="1" applyFill="1" applyBorder="1" applyAlignment="1">
      <alignment vertical="center" wrapText="1"/>
    </xf>
    <xf numFmtId="0" fontId="5" fillId="7" borderId="2" xfId="0" applyFont="1" applyFill="1" applyBorder="1" applyAlignment="1">
      <alignment horizontal="center" vertical="center" wrapText="1"/>
    </xf>
    <xf numFmtId="0" fontId="6" fillId="7" borderId="3" xfId="0" applyFont="1" applyFill="1" applyBorder="1" applyAlignment="1">
      <alignment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vertical="center" wrapText="1"/>
    </xf>
    <xf numFmtId="0" fontId="6" fillId="7" borderId="4" xfId="0" applyFont="1" applyFill="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left" vertical="center" indent="1"/>
    </xf>
    <xf numFmtId="0" fontId="0" fillId="0" borderId="0" xfId="0" applyAlignment="1">
      <alignment horizontal="left" vertical="center"/>
    </xf>
    <xf numFmtId="0" fontId="2" fillId="0" borderId="0" xfId="0" applyFont="1" applyAlignment="1">
      <alignment horizontal="left" vertical="center" wrapText="1"/>
    </xf>
    <xf numFmtId="0" fontId="0" fillId="2" borderId="0" xfId="0" applyFill="1"/>
    <xf numFmtId="0" fontId="0" fillId="5" borderId="0" xfId="0" applyFill="1"/>
    <xf numFmtId="0" fontId="0" fillId="6" borderId="0" xfId="0" applyFill="1"/>
    <xf numFmtId="0" fontId="0" fillId="3" borderId="0" xfId="0" applyFill="1"/>
    <xf numFmtId="0" fontId="1" fillId="0" borderId="1" xfId="1" applyAlignment="1">
      <alignment vertical="center" readingOrder="1"/>
    </xf>
  </cellXfs>
  <cellStyles count="3">
    <cellStyle name="Heading 1" xfId="1" builtinId="1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'[1]8Electricity_network_efficiency'!$O$54</c:f>
              <c:strCache>
                <c:ptCount val="1"/>
                <c:pt idx="0">
                  <c:v>Loss per km (kW/km)</c:v>
                </c:pt>
              </c:strCache>
            </c:strRef>
          </c:tx>
          <c:spPr>
            <a:solidFill>
              <a:srgbClr val="E3008C"/>
            </a:solidFill>
            <a:ln>
              <a:noFill/>
            </a:ln>
            <a:effectLst/>
          </c:spPr>
          <c:invertIfNegative val="0"/>
          <c:cat>
            <c:numRef>
              <c:f>'[1]8Electricity_network_efficiency'!$D$55:$D$61</c:f>
              <c:numCache>
                <c:formatCode>General</c:formatCode>
                <c:ptCount val="7"/>
                <c:pt idx="0">
                  <c:v>380</c:v>
                </c:pt>
                <c:pt idx="1">
                  <c:v>220</c:v>
                </c:pt>
                <c:pt idx="2">
                  <c:v>150</c:v>
                </c:pt>
                <c:pt idx="3">
                  <c:v>110</c:v>
                </c:pt>
                <c:pt idx="4">
                  <c:v>50</c:v>
                </c:pt>
                <c:pt idx="5">
                  <c:v>20</c:v>
                </c:pt>
                <c:pt idx="6">
                  <c:v>10</c:v>
                </c:pt>
              </c:numCache>
            </c:numRef>
          </c:cat>
          <c:val>
            <c:numRef>
              <c:f>'[1]8Electricity_network_efficiency'!$O$55:$O$61</c:f>
              <c:numCache>
                <c:formatCode>General</c:formatCode>
                <c:ptCount val="7"/>
                <c:pt idx="0">
                  <c:v>476.94268293613544</c:v>
                </c:pt>
                <c:pt idx="1">
                  <c:v>0</c:v>
                </c:pt>
                <c:pt idx="2">
                  <c:v>97.949188858279754</c:v>
                </c:pt>
                <c:pt idx="3">
                  <c:v>0</c:v>
                </c:pt>
                <c:pt idx="4">
                  <c:v>0</c:v>
                </c:pt>
                <c:pt idx="5">
                  <c:v>33.119113573407226</c:v>
                </c:pt>
                <c:pt idx="6">
                  <c:v>64.221606648199483</c:v>
                </c:pt>
              </c:numCache>
            </c:numRef>
          </c:val>
          <c:extLst>
            <c:ext xmlns:c16="http://schemas.microsoft.com/office/drawing/2014/chart" uri="{C3380CC4-5D6E-409C-BE32-E72D297353CC}">
              <c16:uniqueId val="{00000000-5DDA-450F-9CD9-34DE2DC0AD0E}"/>
            </c:ext>
          </c:extLst>
        </c:ser>
        <c:dLbls>
          <c:showLegendKey val="0"/>
          <c:showVal val="0"/>
          <c:showCatName val="0"/>
          <c:showSerName val="0"/>
          <c:showPercent val="0"/>
          <c:showBubbleSize val="0"/>
        </c:dLbls>
        <c:gapWidth val="219"/>
        <c:overlap val="-27"/>
        <c:axId val="7162375"/>
        <c:axId val="7184903"/>
      </c:barChart>
      <c:catAx>
        <c:axId val="7162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Voltage (kV)</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4903"/>
        <c:crosses val="autoZero"/>
        <c:auto val="1"/>
        <c:lblAlgn val="ctr"/>
        <c:lblOffset val="100"/>
        <c:noMultiLvlLbl val="0"/>
      </c:catAx>
      <c:valAx>
        <c:axId val="7184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Loss per km (kW/km)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2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www.phasetophase.nl/boek/boek_1_2.html" TargetMode="External"/><Relationship Id="rId7"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https://www.kennisplatform.nl/uit-welke-onderdelen-bestaat-het-elektriciteitsnetwerk/" TargetMode="Externa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527956</xdr:colOff>
      <xdr:row>1</xdr:row>
      <xdr:rowOff>103416</xdr:rowOff>
    </xdr:from>
    <xdr:to>
      <xdr:col>5</xdr:col>
      <xdr:colOff>1516409</xdr:colOff>
      <xdr:row>15</xdr:row>
      <xdr:rowOff>65315</xdr:rowOff>
    </xdr:to>
    <xdr:pic>
      <xdr:nvPicPr>
        <xdr:cNvPr id="2" name="Afbeelding 1">
          <a:hlinkClick xmlns:r="http://schemas.openxmlformats.org/officeDocument/2006/relationships" r:id="rId1"/>
          <a:extLst>
            <a:ext uri="{FF2B5EF4-FFF2-40B4-BE49-F238E27FC236}">
              <a16:creationId xmlns:a16="http://schemas.microsoft.com/office/drawing/2014/main" id="{0F73FA4E-F2FC-400E-9504-62C029A0914B}"/>
            </a:ext>
          </a:extLst>
        </xdr:cNvPr>
        <xdr:cNvPicPr>
          <a:picLocks noChangeAspect="1"/>
        </xdr:cNvPicPr>
      </xdr:nvPicPr>
      <xdr:blipFill rotWithShape="1">
        <a:blip xmlns:r="http://schemas.openxmlformats.org/officeDocument/2006/relationships" r:embed="rId2"/>
        <a:srcRect t="1423"/>
        <a:stretch/>
      </xdr:blipFill>
      <xdr:spPr>
        <a:xfrm>
          <a:off x="6558642" y="2215245"/>
          <a:ext cx="4482767" cy="2558142"/>
        </a:xfrm>
        <a:prstGeom prst="rect">
          <a:avLst/>
        </a:prstGeom>
      </xdr:spPr>
    </xdr:pic>
    <xdr:clientData/>
  </xdr:twoCellAnchor>
  <xdr:twoCellAnchor editAs="oneCell">
    <xdr:from>
      <xdr:col>3</xdr:col>
      <xdr:colOff>730403</xdr:colOff>
      <xdr:row>18</xdr:row>
      <xdr:rowOff>5922</xdr:rowOff>
    </xdr:from>
    <xdr:to>
      <xdr:col>5</xdr:col>
      <xdr:colOff>1413071</xdr:colOff>
      <xdr:row>34</xdr:row>
      <xdr:rowOff>103245</xdr:rowOff>
    </xdr:to>
    <xdr:pic>
      <xdr:nvPicPr>
        <xdr:cNvPr id="4" name="Afbeelding 3" descr="pics_1.2">
          <a:hlinkClick xmlns:r="http://schemas.openxmlformats.org/officeDocument/2006/relationships" r:id="rId3"/>
          <a:extLst>
            <a:ext uri="{FF2B5EF4-FFF2-40B4-BE49-F238E27FC236}">
              <a16:creationId xmlns:a16="http://schemas.microsoft.com/office/drawing/2014/main" id="{3D6644C9-FF34-4A26-A66E-0DD67F9A697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61089" y="5263722"/>
          <a:ext cx="4176982" cy="3058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1730191</xdr:colOff>
      <xdr:row>42</xdr:row>
      <xdr:rowOff>257370</xdr:rowOff>
    </xdr:from>
    <xdr:to>
      <xdr:col>4</xdr:col>
      <xdr:colOff>1728351</xdr:colOff>
      <xdr:row>46</xdr:row>
      <xdr:rowOff>16328</xdr:rowOff>
    </xdr:to>
    <xdr:pic>
      <xdr:nvPicPr>
        <xdr:cNvPr id="5" name="Afbeelding 4">
          <a:extLst>
            <a:ext uri="{FF2B5EF4-FFF2-40B4-BE49-F238E27FC236}">
              <a16:creationId xmlns:a16="http://schemas.microsoft.com/office/drawing/2014/main" id="{A0EF55DD-17BB-48D4-973E-E902636E7E94}"/>
            </a:ext>
          </a:extLst>
        </xdr:cNvPr>
        <xdr:cNvPicPr>
          <a:picLocks noChangeAspect="1"/>
        </xdr:cNvPicPr>
      </xdr:nvPicPr>
      <xdr:blipFill>
        <a:blip xmlns:r="http://schemas.openxmlformats.org/officeDocument/2006/relationships" r:embed="rId5"/>
        <a:stretch>
          <a:fillRect/>
        </a:stretch>
      </xdr:blipFill>
      <xdr:spPr>
        <a:xfrm>
          <a:off x="7760877" y="8486970"/>
          <a:ext cx="1745317" cy="575387"/>
        </a:xfrm>
        <a:prstGeom prst="rect">
          <a:avLst/>
        </a:prstGeom>
      </xdr:spPr>
    </xdr:pic>
    <xdr:clientData/>
  </xdr:twoCellAnchor>
  <xdr:twoCellAnchor editAs="oneCell">
    <xdr:from>
      <xdr:col>2</xdr:col>
      <xdr:colOff>1530856</xdr:colOff>
      <xdr:row>43</xdr:row>
      <xdr:rowOff>18945</xdr:rowOff>
    </xdr:from>
    <xdr:to>
      <xdr:col>3</xdr:col>
      <xdr:colOff>647700</xdr:colOff>
      <xdr:row>48</xdr:row>
      <xdr:rowOff>136071</xdr:rowOff>
    </xdr:to>
    <xdr:pic>
      <xdr:nvPicPr>
        <xdr:cNvPr id="6" name="Afbeelding 5">
          <a:extLst>
            <a:ext uri="{FF2B5EF4-FFF2-40B4-BE49-F238E27FC236}">
              <a16:creationId xmlns:a16="http://schemas.microsoft.com/office/drawing/2014/main" id="{915E7A33-182C-4919-8883-2DB7C1D20B20}"/>
            </a:ext>
          </a:extLst>
        </xdr:cNvPr>
        <xdr:cNvPicPr>
          <a:picLocks noChangeAspect="1"/>
        </xdr:cNvPicPr>
      </xdr:nvPicPr>
      <xdr:blipFill>
        <a:blip xmlns:r="http://schemas.openxmlformats.org/officeDocument/2006/relationships" r:embed="rId6"/>
        <a:stretch>
          <a:fillRect/>
        </a:stretch>
      </xdr:blipFill>
      <xdr:spPr>
        <a:xfrm>
          <a:off x="4894542" y="8509802"/>
          <a:ext cx="1783844" cy="1042412"/>
        </a:xfrm>
        <a:prstGeom prst="rect">
          <a:avLst/>
        </a:prstGeom>
      </xdr:spPr>
    </xdr:pic>
    <xdr:clientData/>
  </xdr:twoCellAnchor>
  <xdr:twoCellAnchor>
    <xdr:from>
      <xdr:col>7</xdr:col>
      <xdr:colOff>74839</xdr:colOff>
      <xdr:row>65</xdr:row>
      <xdr:rowOff>77560</xdr:rowOff>
    </xdr:from>
    <xdr:to>
      <xdr:col>10</xdr:col>
      <xdr:colOff>93889</xdr:colOff>
      <xdr:row>84</xdr:row>
      <xdr:rowOff>106135</xdr:rowOff>
    </xdr:to>
    <xdr:graphicFrame macro="">
      <xdr:nvGraphicFramePr>
        <xdr:cNvPr id="7" name="Graphique 13">
          <a:extLst>
            <a:ext uri="{FF2B5EF4-FFF2-40B4-BE49-F238E27FC236}">
              <a16:creationId xmlns:a16="http://schemas.microsoft.com/office/drawing/2014/main" id="{0D2888A4-388E-472B-8320-568BD482B57C}"/>
            </a:ext>
            <a:ext uri="{147F2762-F138-4A5C-976F-8EAC2B608ADB}">
              <a16:predDERef xmlns:a16="http://schemas.microsoft.com/office/drawing/2014/main" pred="{A837447E-5D6E-43B4-A19D-A4734E3C5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255813</xdr:colOff>
      <xdr:row>1</xdr:row>
      <xdr:rowOff>97970</xdr:rowOff>
    </xdr:from>
    <xdr:to>
      <xdr:col>3</xdr:col>
      <xdr:colOff>179613</xdr:colOff>
      <xdr:row>40</xdr:row>
      <xdr:rowOff>206827</xdr:rowOff>
    </xdr:to>
    <xdr:sp macro="" textlink="">
      <xdr:nvSpPr>
        <xdr:cNvPr id="8" name="TextBox 7">
          <a:extLst>
            <a:ext uri="{FF2B5EF4-FFF2-40B4-BE49-F238E27FC236}">
              <a16:creationId xmlns:a16="http://schemas.microsoft.com/office/drawing/2014/main" id="{35735462-2F90-A809-DC81-4D6A486B0619}"/>
            </a:ext>
          </a:extLst>
        </xdr:cNvPr>
        <xdr:cNvSpPr txBox="1"/>
      </xdr:nvSpPr>
      <xdr:spPr>
        <a:xfrm>
          <a:off x="255813" y="2209799"/>
          <a:ext cx="5954486" cy="7630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nl-NL" sz="1100" b="1">
              <a:solidFill>
                <a:schemeClr val="dk1"/>
              </a:solidFill>
              <a:effectLst/>
              <a:latin typeface="+mn-lt"/>
              <a:ea typeface="+mn-ea"/>
              <a:cs typeface="+mn-cs"/>
            </a:rPr>
            <a:t>1. Overview</a:t>
          </a:r>
        </a:p>
        <a:p>
          <a:pPr rtl="0"/>
          <a:r>
            <a:rPr lang="nl-NL" sz="1100">
              <a:solidFill>
                <a:schemeClr val="dk1"/>
              </a:solidFill>
              <a:effectLst/>
              <a:latin typeface="+mn-lt"/>
              <a:ea typeface="+mn-ea"/>
              <a:cs typeface="+mn-cs"/>
            </a:rPr>
            <a:t>This appendix provides the technical parameters, computational logic, and inventory data utilized to model the environmental and energetic impacts of electricity grid reinforcements. As the transition to individual and hybrid heat pump scenarios necessitates significant localized grid upgrades, this dataset serves as the primary link between neighborhood-level energy demand and the resulting material-embedded environmental impacts.</a:t>
          </a:r>
        </a:p>
        <a:p>
          <a:pPr rtl="0"/>
          <a:r>
            <a:rPr lang="nl-NL" sz="1100" b="1">
              <a:solidFill>
                <a:schemeClr val="dk1"/>
              </a:solidFill>
              <a:effectLst/>
              <a:latin typeface="+mn-lt"/>
              <a:ea typeface="+mn-ea"/>
              <a:cs typeface="+mn-cs"/>
            </a:rPr>
            <a:t>2. Methodological Reasoning</a:t>
          </a:r>
        </a:p>
        <a:p>
          <a:pPr rtl="0"/>
          <a:r>
            <a:rPr lang="nl-NL" sz="1100">
              <a:solidFill>
                <a:schemeClr val="dk1"/>
              </a:solidFill>
              <a:effectLst/>
              <a:latin typeface="+mn-lt"/>
              <a:ea typeface="+mn-ea"/>
              <a:cs typeface="+mn-cs"/>
            </a:rPr>
            <a:t>The modeling framework is structured around the hierarchical levels of the Dutch electricity grid </a:t>
          </a:r>
          <a:r>
            <a:rPr lang="nl-NL" sz="1100" i="0">
              <a:solidFill>
                <a:schemeClr val="dk1"/>
              </a:solidFill>
              <a:effectLst/>
              <a:latin typeface="+mn-lt"/>
              <a:ea typeface="+mn-ea"/>
              <a:cs typeface="+mn-cs"/>
            </a:rPr>
            <a:t>(netvlakken), </a:t>
          </a:r>
          <a:r>
            <a:rPr lang="nl-NL" sz="1100">
              <a:solidFill>
                <a:schemeClr val="dk1"/>
              </a:solidFill>
              <a:effectLst/>
              <a:latin typeface="+mn-lt"/>
              <a:ea typeface="+mn-ea"/>
              <a:cs typeface="+mn-cs"/>
            </a:rPr>
            <a:t>ranging from high-voltage national backbones to low-voltage neighborhood distribution. For the scope of this research, specific emphasis was placed on:</a:t>
          </a:r>
        </a:p>
        <a:p>
          <a:pPr marL="171450" indent="-171450" rtl="0">
            <a:buFont typeface="Arial" panose="020B0604020202020204" pitchFamily="34" charset="0"/>
            <a:buChar char="•"/>
          </a:pPr>
          <a:r>
            <a:rPr lang="nl-NL" sz="1100" b="1">
              <a:solidFill>
                <a:schemeClr val="dk1"/>
              </a:solidFill>
              <a:effectLst/>
              <a:latin typeface="+mn-lt"/>
              <a:ea typeface="+mn-ea"/>
              <a:cs typeface="+mn-cs"/>
            </a:rPr>
            <a:t>Underground Infrastructure:</a:t>
          </a:r>
          <a:r>
            <a:rPr lang="nl-NL" sz="1100">
              <a:solidFill>
                <a:schemeClr val="dk1"/>
              </a:solidFill>
              <a:effectLst/>
              <a:latin typeface="+mn-lt"/>
              <a:ea typeface="+mn-ea"/>
              <a:cs typeface="+mn-cs"/>
            </a:rPr>
            <a:t> In alignment with the urban characteristics of Delft, all local reinforcements (Medium and Low Voltage) are modeled as underground XLPE cables. This choice significantly influences material intensity due to the requirement for specific insulation and protective sheathing compared to overhead lines.</a:t>
          </a:r>
        </a:p>
        <a:p>
          <a:pPr marL="171450" indent="-171450" rtl="0">
            <a:buFont typeface="Arial" panose="020B0604020202020204" pitchFamily="34" charset="0"/>
            <a:buChar char="•"/>
          </a:pPr>
          <a:r>
            <a:rPr lang="nl-NL" sz="1100" b="1">
              <a:solidFill>
                <a:schemeClr val="dk1"/>
              </a:solidFill>
              <a:effectLst/>
              <a:latin typeface="+mn-lt"/>
              <a:ea typeface="+mn-ea"/>
              <a:cs typeface="+mn-cs"/>
            </a:rPr>
            <a:t>Burden Attribution:</a:t>
          </a:r>
          <a:r>
            <a:rPr lang="nl-NL" sz="1100">
              <a:solidFill>
                <a:schemeClr val="dk1"/>
              </a:solidFill>
              <a:effectLst/>
              <a:latin typeface="+mn-lt"/>
              <a:ea typeface="+mn-ea"/>
              <a:cs typeface="+mn-cs"/>
            </a:rPr>
            <a:t> By modeling infrastructure requirements across different voltages, the study ensures that the environmental "cost" of electrification is not limited to the household level but accounts for the necessary upstream reinforcements.</a:t>
          </a:r>
        </a:p>
        <a:p>
          <a:pPr marL="171450" indent="-171450" rtl="0">
            <a:buFont typeface="Arial" panose="020B0604020202020204" pitchFamily="34" charset="0"/>
            <a:buChar char="•"/>
          </a:pPr>
          <a:r>
            <a:rPr lang="nl-NL" sz="1100" b="1">
              <a:solidFill>
                <a:schemeClr val="dk1"/>
              </a:solidFill>
              <a:effectLst/>
              <a:latin typeface="+mn-lt"/>
              <a:ea typeface="+mn-ea"/>
              <a:cs typeface="+mn-cs"/>
            </a:rPr>
            <a:t>Material-Energy Nexus:</a:t>
          </a:r>
          <a:r>
            <a:rPr lang="nl-NL" sz="1100">
              <a:solidFill>
                <a:schemeClr val="dk1"/>
              </a:solidFill>
              <a:effectLst/>
              <a:latin typeface="+mn-lt"/>
              <a:ea typeface="+mn-ea"/>
              <a:cs typeface="+mn-cs"/>
            </a:rPr>
            <a:t> The data integrates both the physical mass of the cables (for LCA impacts) and their resistive properties (for operational energy loss calculations), providing a holistic view of the system's efficiency.</a:t>
          </a:r>
        </a:p>
        <a:p>
          <a:pPr rtl="0"/>
          <a:r>
            <a:rPr lang="nl-NL" sz="1100" b="1">
              <a:solidFill>
                <a:schemeClr val="dk1"/>
              </a:solidFill>
              <a:effectLst/>
              <a:latin typeface="+mn-lt"/>
              <a:ea typeface="+mn-ea"/>
              <a:cs typeface="+mn-cs"/>
            </a:rPr>
            <a:t>3. Computational Framework</a:t>
          </a:r>
        </a:p>
        <a:p>
          <a:pPr rtl="0"/>
          <a:r>
            <a:rPr lang="nl-NL" sz="1100">
              <a:solidFill>
                <a:schemeClr val="dk1"/>
              </a:solidFill>
              <a:effectLst/>
              <a:latin typeface="+mn-lt"/>
              <a:ea typeface="+mn-ea"/>
              <a:cs typeface="+mn-cs"/>
            </a:rPr>
            <a:t>The following engineering principles were applied to derive the values presented in the integrated model:</a:t>
          </a:r>
        </a:p>
        <a:p>
          <a:pPr marL="171450" indent="-171450" rtl="0">
            <a:buFont typeface="Arial" panose="020B0604020202020204" pitchFamily="34" charset="0"/>
            <a:buChar char="•"/>
          </a:pPr>
          <a:r>
            <a:rPr lang="nl-NL" sz="1100" b="1">
              <a:solidFill>
                <a:schemeClr val="dk1"/>
              </a:solidFill>
              <a:effectLst/>
              <a:latin typeface="+mn-lt"/>
              <a:ea typeface="+mn-ea"/>
              <a:cs typeface="+mn-cs"/>
            </a:rPr>
            <a:t>Resistance Calculations:</a:t>
          </a:r>
          <a:r>
            <a:rPr lang="nl-NL" sz="1100">
              <a:solidFill>
                <a:schemeClr val="dk1"/>
              </a:solidFill>
              <a:effectLst/>
              <a:latin typeface="+mn-lt"/>
              <a:ea typeface="+mn-ea"/>
              <a:cs typeface="+mn-cs"/>
            </a:rPr>
            <a:t> Conductor resistance was determined based on material resistivity (Copper or Aluminum) and cross-sectional areas</a:t>
          </a:r>
          <a:r>
            <a:rPr lang="nl-NL" sz="1100" baseline="0">
              <a:solidFill>
                <a:schemeClr val="dk1"/>
              </a:solidFill>
              <a:effectLst/>
              <a:latin typeface="+mn-lt"/>
              <a:ea typeface="+mn-ea"/>
              <a:cs typeface="+mn-cs"/>
            </a:rPr>
            <a:t> </a:t>
          </a:r>
          <a:r>
            <a:rPr lang="nl-NL" sz="1100">
              <a:solidFill>
                <a:schemeClr val="dk1"/>
              </a:solidFill>
              <a:effectLst/>
              <a:latin typeface="+mn-lt"/>
              <a:ea typeface="+mn-ea"/>
              <a:cs typeface="+mn-cs"/>
            </a:rPr>
            <a:t>according to international standards.</a:t>
          </a:r>
        </a:p>
        <a:p>
          <a:pPr marL="171450" indent="-171450" rtl="0">
            <a:buFont typeface="Arial" panose="020B0604020202020204" pitchFamily="34" charset="0"/>
            <a:buChar char="•"/>
          </a:pPr>
          <a:r>
            <a:rPr lang="nl-NL" sz="1100" b="1">
              <a:solidFill>
                <a:schemeClr val="dk1"/>
              </a:solidFill>
              <a:effectLst/>
              <a:latin typeface="+mn-lt"/>
              <a:ea typeface="+mn-ea"/>
              <a:cs typeface="+mn-cs"/>
            </a:rPr>
            <a:t>Joule Heating (Line Losses):</a:t>
          </a:r>
          <a:r>
            <a:rPr lang="nl-NL" sz="1100">
              <a:solidFill>
                <a:schemeClr val="dk1"/>
              </a:solidFill>
              <a:effectLst/>
              <a:latin typeface="+mn-lt"/>
              <a:ea typeface="+mn-ea"/>
              <a:cs typeface="+mn-cs"/>
            </a:rPr>
            <a:t> To account for energy dissipation during transport, power losses were calculated using the formula</a:t>
          </a:r>
          <a:r>
            <a:rPr lang="nl-NL" sz="1100" baseline="0">
              <a:solidFill>
                <a:schemeClr val="dk1"/>
              </a:solidFill>
              <a:effectLst/>
              <a:latin typeface="+mn-lt"/>
              <a:ea typeface="+mn-ea"/>
              <a:cs typeface="+mn-cs"/>
            </a:rPr>
            <a:t> below</a:t>
          </a:r>
          <a:r>
            <a:rPr lang="nl-NL" sz="1100">
              <a:solidFill>
                <a:schemeClr val="dk1"/>
              </a:solidFill>
              <a:effectLst/>
              <a:latin typeface="+mn-lt"/>
              <a:ea typeface="+mn-ea"/>
              <a:cs typeface="+mn-cs"/>
            </a:rPr>
            <a:t> represents the phase current derived from peak neighborhood heat demand.</a:t>
          </a:r>
        </a:p>
        <a:p>
          <a:pPr marL="171450" indent="-171450" rtl="0">
            <a:buFont typeface="Arial" panose="020B0604020202020204" pitchFamily="34" charset="0"/>
            <a:buChar char="•"/>
          </a:pPr>
          <a:r>
            <a:rPr lang="nl-NL" sz="1100" b="1">
              <a:solidFill>
                <a:schemeClr val="dk1"/>
              </a:solidFill>
              <a:effectLst/>
              <a:latin typeface="+mn-lt"/>
              <a:ea typeface="+mn-ea"/>
              <a:cs typeface="+mn-cs"/>
            </a:rPr>
            <a:t>Environmental Characterization:</a:t>
          </a:r>
          <a:r>
            <a:rPr lang="nl-NL" sz="1100">
              <a:solidFill>
                <a:schemeClr val="dk1"/>
              </a:solidFill>
              <a:effectLst/>
              <a:latin typeface="+mn-lt"/>
              <a:ea typeface="+mn-ea"/>
              <a:cs typeface="+mn-cs"/>
            </a:rPr>
            <a:t> Physical cable mass (expressed in $kg/m$) was coupled with a specific emission factor of approximately $2.5\text{ kg } CO_{2}\text{-eq per kg}$ of cable, based on a comprehensive supply chain analysis of Dutch grid components.</a:t>
          </a:r>
        </a:p>
        <a:p>
          <a:pPr rtl="0"/>
          <a:r>
            <a:rPr lang="nl-NL" sz="1100" b="1">
              <a:solidFill>
                <a:schemeClr val="dk1"/>
              </a:solidFill>
              <a:effectLst/>
              <a:latin typeface="+mn-lt"/>
              <a:ea typeface="+mn-ea"/>
              <a:cs typeface="+mn-cs"/>
            </a:rPr>
            <a:t>4. Data Inventory and Sources</a:t>
          </a:r>
        </a:p>
        <a:p>
          <a:pPr marL="171450" indent="-171450" rtl="0">
            <a:buFont typeface="Arial" panose="020B0604020202020204" pitchFamily="34" charset="0"/>
            <a:buChar char="•"/>
          </a:pPr>
          <a:r>
            <a:rPr lang="nl-NL" sz="1100" b="0" i="0">
              <a:solidFill>
                <a:schemeClr val="dk1"/>
              </a:solidFill>
              <a:effectLst/>
              <a:latin typeface="+mn-lt"/>
              <a:ea typeface="+mn-ea"/>
              <a:cs typeface="+mn-cs"/>
            </a:rPr>
            <a:t>The values populated in this model were synthesized from a combination of industrial standards, regional utility data, and peer-reviewed literature:</a:t>
          </a:r>
        </a:p>
        <a:p>
          <a:pPr marL="171450" indent="-171450" rtl="0">
            <a:buFont typeface="Arial" panose="020B0604020202020204" pitchFamily="34" charset="0"/>
            <a:buChar char="•"/>
          </a:pPr>
          <a:r>
            <a:rPr lang="nl-NL" sz="1100" b="0" i="0">
              <a:solidFill>
                <a:schemeClr val="dk1"/>
              </a:solidFill>
              <a:effectLst/>
              <a:latin typeface="+mn-lt"/>
              <a:ea typeface="+mn-ea"/>
              <a:cs typeface="+mn-cs"/>
            </a:rPr>
            <a:t>Infrastructure Specifications: Cable types, materials, and typical cross-sections were sourced from Stedin (Open Data), the regional grid operator for Delft, and NEN-EN 60228:2019 (Conductors of insulated cables).</a:t>
          </a:r>
        </a:p>
        <a:p>
          <a:pPr marL="171450" indent="-171450" rtl="0">
            <a:buFont typeface="Arial" panose="020B0604020202020204" pitchFamily="34" charset="0"/>
            <a:buChar char="•"/>
          </a:pPr>
          <a:r>
            <a:rPr lang="nl-NL" sz="1100" b="0" i="0">
              <a:solidFill>
                <a:schemeClr val="dk1"/>
              </a:solidFill>
              <a:effectLst/>
              <a:latin typeface="+mn-lt"/>
              <a:ea typeface="+mn-ea"/>
              <a:cs typeface="+mn-cs"/>
            </a:rPr>
            <a:t>Grid Modeling Theory: Chapters 2 and 4 of the Phase to Phase technical manual provided the theoretical basis for line loss and impedance calculations within the Dutch context.</a:t>
          </a:r>
        </a:p>
        <a:p>
          <a:pPr marL="171450" indent="-171450" rtl="0">
            <a:buFont typeface="Arial" panose="020B0604020202020204" pitchFamily="34" charset="0"/>
            <a:buChar char="•"/>
          </a:pPr>
          <a:r>
            <a:rPr lang="nl-NL" sz="1100" b="0" i="0">
              <a:solidFill>
                <a:schemeClr val="dk1"/>
              </a:solidFill>
              <a:effectLst/>
              <a:latin typeface="+mn-lt"/>
              <a:ea typeface="+mn-ea"/>
              <a:cs typeface="+mn-cs"/>
            </a:rPr>
            <a:t>Impact Factors: The carbon intensity and material weights for XLPE-insulated cables were retrieved from the recent Dutch "Ketenanalyse" for Grid Expansion (Uitbreidingen elektriciteitsnet), which provides specific emission data per kilometer of line type.</a:t>
          </a:r>
        </a:p>
        <a:p>
          <a:pPr marL="171450" indent="-171450" rtl="0">
            <a:buFont typeface="Arial" panose="020B0604020202020204" pitchFamily="34" charset="0"/>
            <a:buChar char="•"/>
          </a:pPr>
          <a:r>
            <a:rPr lang="nl-NL" sz="1100" b="0" i="0">
              <a:solidFill>
                <a:schemeClr val="dk1"/>
              </a:solidFill>
              <a:effectLst/>
              <a:latin typeface="+mn-lt"/>
              <a:ea typeface="+mn-ea"/>
              <a:cs typeface="+mn-cs"/>
            </a:rPr>
            <a:t>Foundational Physics: Resistance and transmission principles were verified against literature from Diversegy regarding energy transmission line losses.</a:t>
          </a:r>
        </a:p>
        <a:p>
          <a:endParaRPr lang="nl-NL"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eidenuniv1.sharepoint.com/sites/IE_05MunicipalityofDelft/Shared%20Documents/General/Phase%202%20-%20Initiation/Data_gathering.xlsx" TargetMode="External"/><Relationship Id="rId1" Type="http://schemas.openxmlformats.org/officeDocument/2006/relationships/externalLinkPath" Target="https://leidenuniv1.sharepoint.com/sites/IE_05MunicipalityofDelft/Shared%20Documents/General/Phase%202%20-%20Initiation/Data_gather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 Introduction"/>
      <sheetName val="Checklist"/>
      <sheetName val="1.1 Housing_cost_difference"/>
      <sheetName val="1.2 Utility_cost_difference"/>
      <sheetName val="2.2 Geothermal heat prodution"/>
      <sheetName val="Air heat pumps"/>
      <sheetName val="6. ASHP_conversion_efficiency"/>
      <sheetName val="11peak demand"/>
      <sheetName val="7.Maximum heat pump capacity"/>
      <sheetName val="8Electricity_network_efficiency"/>
      <sheetName val="8Electricity_network_impacts"/>
      <sheetName val="9_heat_pipe efficiency"/>
      <sheetName val="10Max_geo_capacity&amp;electricity"/>
      <sheetName val="12 ins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54">
          <cell r="O54" t="str">
            <v>Loss per km (kW/km)</v>
          </cell>
        </row>
        <row r="55">
          <cell r="D55">
            <v>380</v>
          </cell>
          <cell r="O55">
            <v>476.94268293613544</v>
          </cell>
        </row>
        <row r="56">
          <cell r="D56">
            <v>220</v>
          </cell>
          <cell r="O56">
            <v>0</v>
          </cell>
        </row>
        <row r="57">
          <cell r="D57">
            <v>150</v>
          </cell>
          <cell r="O57">
            <v>97.949188858279754</v>
          </cell>
        </row>
        <row r="58">
          <cell r="D58">
            <v>110</v>
          </cell>
          <cell r="O58">
            <v>0</v>
          </cell>
        </row>
        <row r="59">
          <cell r="D59">
            <v>50</v>
          </cell>
          <cell r="O59">
            <v>0</v>
          </cell>
        </row>
        <row r="60">
          <cell r="D60">
            <v>20</v>
          </cell>
          <cell r="O60">
            <v>33.119113573407226</v>
          </cell>
        </row>
        <row r="61">
          <cell r="D61">
            <v>10</v>
          </cell>
          <cell r="O61">
            <v>64.221606648199483</v>
          </cell>
        </row>
      </sheetData>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6470-1728-4062-B6D4-A7F94CFCCB4D}">
  <dimension ref="A1:AD80"/>
  <sheetViews>
    <sheetView tabSelected="1" workbookViewId="0">
      <selection activeCell="H81" sqref="H81"/>
    </sheetView>
  </sheetViews>
  <sheetFormatPr defaultRowHeight="14.6"/>
  <cols>
    <col min="2" max="2" width="38.3046875" customWidth="1"/>
    <col min="3" max="3" width="37.69140625" customWidth="1"/>
    <col min="4" max="8" width="24.69140625" customWidth="1"/>
    <col min="9" max="9" width="30.07421875" customWidth="1"/>
    <col min="10" max="10" width="13.3046875" customWidth="1"/>
    <col min="11" max="11" width="29.53515625" customWidth="1"/>
    <col min="12" max="12" width="29.07421875" customWidth="1"/>
    <col min="13" max="13" width="24.3046875" customWidth="1"/>
    <col min="14" max="17" width="11.765625" bestFit="1" customWidth="1"/>
  </cols>
  <sheetData>
    <row r="1" spans="1:5" ht="20.149999999999999" thickBot="1">
      <c r="A1" s="29" t="s">
        <v>76</v>
      </c>
    </row>
    <row r="2" spans="1:5" ht="15" thickTop="1"/>
    <row r="16" spans="1:5">
      <c r="E16" s="13"/>
    </row>
    <row r="31" spans="8:8">
      <c r="H31" s="13"/>
    </row>
    <row r="33" spans="1:30">
      <c r="B33" s="3"/>
      <c r="C33" s="3"/>
      <c r="D33" s="3"/>
      <c r="E33" s="3"/>
      <c r="F33" s="3"/>
      <c r="G33" s="3"/>
      <c r="H33" s="3"/>
    </row>
    <row r="36" spans="1:30" ht="20.6">
      <c r="AA36" s="15" t="s">
        <v>47</v>
      </c>
      <c r="AB36" s="15" t="s">
        <v>48</v>
      </c>
      <c r="AC36" s="16" t="s">
        <v>49</v>
      </c>
      <c r="AD36" s="16" t="s">
        <v>50</v>
      </c>
    </row>
    <row r="37" spans="1:30" ht="20.6">
      <c r="AA37" s="17" t="s">
        <v>52</v>
      </c>
      <c r="AB37" s="17" t="s">
        <v>53</v>
      </c>
      <c r="AC37" s="18">
        <v>2682</v>
      </c>
      <c r="AD37" s="18">
        <v>3</v>
      </c>
    </row>
    <row r="38" spans="1:30">
      <c r="AA38" s="19"/>
      <c r="AB38" s="19" t="s">
        <v>54</v>
      </c>
      <c r="AC38" s="20"/>
      <c r="AD38" s="20"/>
    </row>
    <row r="39" spans="1:30" ht="20.6">
      <c r="AA39" s="17" t="s">
        <v>56</v>
      </c>
      <c r="AB39" s="17" t="s">
        <v>53</v>
      </c>
      <c r="AC39" s="18">
        <v>5492</v>
      </c>
      <c r="AD39" s="18">
        <v>3760</v>
      </c>
    </row>
    <row r="40" spans="1:30" ht="20.6">
      <c r="AA40" s="19"/>
      <c r="AB40" s="19" t="s">
        <v>58</v>
      </c>
      <c r="AC40" s="20"/>
      <c r="AD40" s="20"/>
    </row>
    <row r="41" spans="1:30" ht="20.6">
      <c r="AA41" s="17" t="s">
        <v>59</v>
      </c>
      <c r="AB41" s="17" t="s">
        <v>60</v>
      </c>
      <c r="AC41" s="18">
        <v>0</v>
      </c>
      <c r="AD41" s="18">
        <v>101965</v>
      </c>
    </row>
    <row r="42" spans="1:30">
      <c r="AA42" s="19"/>
      <c r="AB42" s="19" t="s">
        <v>61</v>
      </c>
      <c r="AC42" s="20"/>
      <c r="AD42" s="20"/>
    </row>
    <row r="43" spans="1:30" ht="20.6">
      <c r="C43" s="3"/>
      <c r="D43" s="3"/>
      <c r="E43" s="3"/>
      <c r="F43" s="3"/>
      <c r="G43" s="3"/>
      <c r="H43" s="3"/>
      <c r="AA43" s="17" t="s">
        <v>62</v>
      </c>
      <c r="AB43" s="17" t="s">
        <v>63</v>
      </c>
      <c r="AC43" s="18">
        <v>174</v>
      </c>
      <c r="AD43" s="18">
        <v>145165</v>
      </c>
    </row>
    <row r="44" spans="1:30">
      <c r="A44" t="s">
        <v>45</v>
      </c>
      <c r="C44" s="14"/>
      <c r="D44" s="14"/>
      <c r="E44" s="14"/>
      <c r="F44" s="14"/>
      <c r="G44" s="14"/>
      <c r="H44" s="14"/>
      <c r="AA44" s="19"/>
      <c r="AB44" s="19" t="s">
        <v>64</v>
      </c>
      <c r="AC44" s="20"/>
      <c r="AD44" s="20"/>
    </row>
    <row r="45" spans="1:30">
      <c r="A45">
        <v>1</v>
      </c>
      <c r="B45" t="s">
        <v>46</v>
      </c>
      <c r="C45" s="14"/>
      <c r="D45" s="14"/>
      <c r="E45" s="14"/>
      <c r="F45" s="14"/>
      <c r="G45" s="14"/>
      <c r="H45" s="14"/>
    </row>
    <row r="46" spans="1:30">
      <c r="A46">
        <v>2</v>
      </c>
      <c r="B46" t="s">
        <v>51</v>
      </c>
      <c r="C46" s="14"/>
      <c r="D46" s="14"/>
      <c r="E46" s="14"/>
      <c r="F46" s="14"/>
      <c r="G46" s="14"/>
      <c r="H46" s="14"/>
    </row>
    <row r="47" spans="1:30">
      <c r="A47">
        <v>3</v>
      </c>
      <c r="B47" t="s">
        <v>5</v>
      </c>
      <c r="C47" s="14"/>
      <c r="D47" s="14"/>
      <c r="E47" s="14"/>
      <c r="F47" s="14"/>
      <c r="G47" s="14"/>
      <c r="H47" s="14"/>
      <c r="AA47" s="21"/>
    </row>
    <row r="48" spans="1:30">
      <c r="A48">
        <v>4</v>
      </c>
      <c r="B48" t="s">
        <v>55</v>
      </c>
      <c r="C48" s="14"/>
      <c r="D48" s="14"/>
      <c r="E48" s="14"/>
      <c r="F48" s="14"/>
      <c r="G48" s="14"/>
      <c r="H48" s="14"/>
      <c r="AA48" s="21"/>
    </row>
    <row r="49" spans="1:27">
      <c r="A49">
        <v>5</v>
      </c>
      <c r="B49" t="s">
        <v>57</v>
      </c>
      <c r="C49" s="14"/>
      <c r="D49" s="14"/>
      <c r="E49" s="14"/>
      <c r="F49" s="14"/>
      <c r="G49" s="14"/>
      <c r="H49" s="14"/>
      <c r="AA49" s="21"/>
    </row>
    <row r="50" spans="1:27">
      <c r="C50" s="14"/>
      <c r="D50" s="14"/>
      <c r="E50" s="14"/>
      <c r="F50" s="14"/>
      <c r="G50" s="14"/>
      <c r="H50" s="14"/>
      <c r="AA50" s="21"/>
    </row>
    <row r="51" spans="1:27">
      <c r="AA51" s="22"/>
    </row>
    <row r="52" spans="1:27">
      <c r="A52" t="s">
        <v>0</v>
      </c>
      <c r="B52" s="1"/>
      <c r="AA52" s="22"/>
    </row>
    <row r="53" spans="1:27" ht="29.15">
      <c r="B53" s="2" t="s">
        <v>1</v>
      </c>
      <c r="C53" s="2" t="s">
        <v>2</v>
      </c>
      <c r="D53" s="2" t="s">
        <v>3</v>
      </c>
      <c r="E53" s="2" t="s">
        <v>4</v>
      </c>
      <c r="F53" s="2" t="s">
        <v>5</v>
      </c>
      <c r="G53" s="2" t="s">
        <v>6</v>
      </c>
      <c r="H53" s="3" t="s">
        <v>7</v>
      </c>
      <c r="I53" s="2" t="s">
        <v>8</v>
      </c>
      <c r="J53" s="2" t="s">
        <v>9</v>
      </c>
      <c r="K53" s="2" t="s">
        <v>10</v>
      </c>
      <c r="L53" s="2" t="s">
        <v>11</v>
      </c>
      <c r="M53" s="2" t="s">
        <v>12</v>
      </c>
      <c r="N53" s="4" t="s">
        <v>13</v>
      </c>
      <c r="O53" s="4" t="s">
        <v>14</v>
      </c>
      <c r="P53" s="4" t="s">
        <v>15</v>
      </c>
      <c r="Q53" s="4" t="s">
        <v>16</v>
      </c>
      <c r="AA53" s="22"/>
    </row>
    <row r="54" spans="1:27" ht="29.15">
      <c r="B54" s="5" t="s">
        <v>17</v>
      </c>
      <c r="C54" s="5" t="s">
        <v>18</v>
      </c>
      <c r="D54" s="6">
        <v>380</v>
      </c>
      <c r="E54" s="7">
        <v>1500</v>
      </c>
      <c r="F54" s="7">
        <v>0.99</v>
      </c>
      <c r="G54" s="8">
        <v>1</v>
      </c>
      <c r="H54" s="9">
        <v>0.03</v>
      </c>
      <c r="I54" s="10" t="s">
        <v>19</v>
      </c>
      <c r="J54" s="11" t="s">
        <v>20</v>
      </c>
      <c r="K54" s="11" t="s">
        <v>21</v>
      </c>
      <c r="L54" s="10" t="s">
        <v>22</v>
      </c>
      <c r="M54" s="10"/>
      <c r="N54" s="12">
        <f>(E54*1000)/(SQRT(3)*D54*F54)</f>
        <v>2302.0345661468332</v>
      </c>
      <c r="O54" s="12">
        <f>3*(N54^2)*H54/1000</f>
        <v>476.94268293613544</v>
      </c>
      <c r="P54" s="12">
        <f>O54*G54</f>
        <v>476.94268293613544</v>
      </c>
      <c r="Q54" s="12">
        <f>O54</f>
        <v>476.94268293613544</v>
      </c>
      <c r="AA54" s="22"/>
    </row>
    <row r="55" spans="1:27">
      <c r="B55" s="5"/>
      <c r="C55" s="5" t="s">
        <v>18</v>
      </c>
      <c r="D55" s="6">
        <v>220</v>
      </c>
      <c r="E55" s="7"/>
      <c r="F55" s="7">
        <v>0.99</v>
      </c>
      <c r="G55" s="8">
        <v>1</v>
      </c>
      <c r="H55" s="9"/>
      <c r="I55" s="10"/>
      <c r="J55" s="11"/>
      <c r="K55" s="11"/>
      <c r="L55" s="10"/>
      <c r="M55" s="10"/>
      <c r="N55" s="12">
        <f t="shared" ref="N55:N62" si="0">(E55*1000)/(SQRT(3)*D55*F55)</f>
        <v>0</v>
      </c>
      <c r="O55" s="12">
        <f t="shared" ref="O55:O61" si="1">3*(N55^2)*H55/1000</f>
        <v>0</v>
      </c>
      <c r="P55" s="12">
        <f t="shared" ref="P55:P62" si="2">O55*G55</f>
        <v>0</v>
      </c>
      <c r="Q55" s="12">
        <f t="shared" ref="Q55:Q62" si="3">O55</f>
        <v>0</v>
      </c>
    </row>
    <row r="56" spans="1:27" ht="29.15">
      <c r="B56" s="5" t="s">
        <v>23</v>
      </c>
      <c r="C56" s="5" t="s">
        <v>24</v>
      </c>
      <c r="D56" s="6">
        <v>150</v>
      </c>
      <c r="E56" s="7">
        <v>200</v>
      </c>
      <c r="F56" s="7">
        <v>0.99</v>
      </c>
      <c r="G56" s="8">
        <v>1</v>
      </c>
      <c r="H56" s="9">
        <v>5.3999999999999999E-2</v>
      </c>
      <c r="I56" s="10" t="s">
        <v>25</v>
      </c>
      <c r="J56" s="11" t="s">
        <v>26</v>
      </c>
      <c r="K56" s="11" t="s">
        <v>27</v>
      </c>
      <c r="L56" s="10" t="s">
        <v>28</v>
      </c>
      <c r="M56" s="10" t="s">
        <v>29</v>
      </c>
      <c r="N56" s="12">
        <f t="shared" si="0"/>
        <v>777.57612012070808</v>
      </c>
      <c r="O56" s="12">
        <f t="shared" si="1"/>
        <v>97.949188858279754</v>
      </c>
      <c r="P56" s="12">
        <f t="shared" si="2"/>
        <v>97.949188858279754</v>
      </c>
      <c r="Q56" s="12">
        <f t="shared" si="3"/>
        <v>97.949188858279754</v>
      </c>
    </row>
    <row r="57" spans="1:27">
      <c r="B57" s="5"/>
      <c r="C57" s="5" t="s">
        <v>24</v>
      </c>
      <c r="D57" s="6">
        <v>110</v>
      </c>
      <c r="E57" s="7"/>
      <c r="F57" s="7">
        <v>0.99</v>
      </c>
      <c r="G57" s="8">
        <v>1</v>
      </c>
      <c r="H57" s="9"/>
      <c r="I57" s="10"/>
      <c r="J57" s="11"/>
      <c r="K57" s="11"/>
      <c r="L57" s="10"/>
      <c r="M57" s="10"/>
      <c r="N57" s="12">
        <f t="shared" si="0"/>
        <v>0</v>
      </c>
      <c r="O57" s="12">
        <f t="shared" si="1"/>
        <v>0</v>
      </c>
      <c r="P57" s="12">
        <f t="shared" si="2"/>
        <v>0</v>
      </c>
      <c r="Q57" s="12">
        <f t="shared" si="3"/>
        <v>0</v>
      </c>
    </row>
    <row r="58" spans="1:27">
      <c r="B58" s="5"/>
      <c r="C58" s="5" t="s">
        <v>24</v>
      </c>
      <c r="D58" s="6">
        <v>50</v>
      </c>
      <c r="E58" s="7"/>
      <c r="F58" s="7">
        <v>0.98</v>
      </c>
      <c r="G58" s="8">
        <v>1</v>
      </c>
      <c r="H58" s="9"/>
      <c r="I58" s="10"/>
      <c r="J58" s="11"/>
      <c r="K58" s="11"/>
      <c r="L58" s="10"/>
      <c r="M58" s="10"/>
      <c r="N58" s="12">
        <f t="shared" si="0"/>
        <v>0</v>
      </c>
      <c r="O58" s="12">
        <f t="shared" si="1"/>
        <v>0</v>
      </c>
      <c r="P58" s="12">
        <f t="shared" si="2"/>
        <v>0</v>
      </c>
      <c r="Q58" s="12">
        <f t="shared" si="3"/>
        <v>0</v>
      </c>
    </row>
    <row r="59" spans="1:27" ht="72.900000000000006">
      <c r="B59" s="5" t="s">
        <v>30</v>
      </c>
      <c r="C59" s="5" t="s">
        <v>31</v>
      </c>
      <c r="D59" s="6">
        <v>20</v>
      </c>
      <c r="E59" s="7">
        <v>14</v>
      </c>
      <c r="F59" s="7">
        <v>0.95</v>
      </c>
      <c r="G59" s="8">
        <v>1</v>
      </c>
      <c r="H59" s="9">
        <v>6.0999999999999999E-2</v>
      </c>
      <c r="I59" s="10" t="s">
        <v>32</v>
      </c>
      <c r="J59" s="10" t="s">
        <v>33</v>
      </c>
      <c r="K59" s="10" t="s">
        <v>34</v>
      </c>
      <c r="L59" s="10" t="s">
        <v>35</v>
      </c>
      <c r="M59" s="10" t="s">
        <v>36</v>
      </c>
      <c r="N59" s="12">
        <f t="shared" si="0"/>
        <v>425.41598782393487</v>
      </c>
      <c r="O59" s="12">
        <f t="shared" si="1"/>
        <v>33.119113573407226</v>
      </c>
      <c r="P59" s="12">
        <f t="shared" si="2"/>
        <v>33.119113573407226</v>
      </c>
      <c r="Q59" s="12">
        <f t="shared" si="3"/>
        <v>33.119113573407226</v>
      </c>
    </row>
    <row r="60" spans="1:27" ht="72.900000000000006">
      <c r="B60" s="5" t="s">
        <v>30</v>
      </c>
      <c r="C60" s="5" t="s">
        <v>31</v>
      </c>
      <c r="D60" s="6">
        <v>10</v>
      </c>
      <c r="E60" s="7">
        <v>6</v>
      </c>
      <c r="F60" s="7">
        <v>0.95</v>
      </c>
      <c r="G60" s="8">
        <v>1</v>
      </c>
      <c r="H60" s="9">
        <v>0.161</v>
      </c>
      <c r="I60" s="10" t="s">
        <v>32</v>
      </c>
      <c r="J60" s="10" t="s">
        <v>33</v>
      </c>
      <c r="K60" s="10" t="s">
        <v>34</v>
      </c>
      <c r="L60" s="10" t="s">
        <v>35</v>
      </c>
      <c r="M60" s="10" t="s">
        <v>36</v>
      </c>
      <c r="N60" s="12">
        <f t="shared" si="0"/>
        <v>364.64227527765848</v>
      </c>
      <c r="O60" s="12">
        <f t="shared" si="1"/>
        <v>64.221606648199483</v>
      </c>
      <c r="P60" s="12">
        <f t="shared" si="2"/>
        <v>64.221606648199483</v>
      </c>
      <c r="Q60" s="12">
        <f t="shared" si="3"/>
        <v>64.221606648199483</v>
      </c>
    </row>
    <row r="61" spans="1:27" ht="43.75">
      <c r="B61" s="5" t="s">
        <v>37</v>
      </c>
      <c r="C61" s="5" t="s">
        <v>38</v>
      </c>
      <c r="D61" s="6">
        <v>0.4</v>
      </c>
      <c r="E61" s="7">
        <v>0.2</v>
      </c>
      <c r="F61" s="7">
        <v>0.95</v>
      </c>
      <c r="G61" s="8">
        <v>1</v>
      </c>
      <c r="H61" s="9">
        <v>0.247</v>
      </c>
      <c r="I61" s="10" t="s">
        <v>39</v>
      </c>
      <c r="J61" s="10" t="s">
        <v>40</v>
      </c>
      <c r="K61" s="10" t="s">
        <v>41</v>
      </c>
      <c r="L61" s="10" t="s">
        <v>42</v>
      </c>
      <c r="M61" s="10" t="s">
        <v>43</v>
      </c>
      <c r="N61" s="12">
        <f t="shared" si="0"/>
        <v>303.86856273138199</v>
      </c>
      <c r="O61" s="12">
        <f t="shared" si="1"/>
        <v>68.421052631578945</v>
      </c>
      <c r="P61" s="12">
        <f t="shared" si="2"/>
        <v>68.421052631578945</v>
      </c>
      <c r="Q61" s="12">
        <f t="shared" si="3"/>
        <v>68.421052631578945</v>
      </c>
    </row>
    <row r="62" spans="1:27" ht="43.75">
      <c r="B62" s="5" t="s">
        <v>37</v>
      </c>
      <c r="C62" s="5" t="s">
        <v>38</v>
      </c>
      <c r="D62" s="6">
        <v>0.4</v>
      </c>
      <c r="E62" s="7">
        <v>5.5E-2</v>
      </c>
      <c r="F62" s="7">
        <v>0.95</v>
      </c>
      <c r="G62" s="8">
        <v>1</v>
      </c>
      <c r="H62" s="9">
        <v>1.45</v>
      </c>
      <c r="I62" s="10" t="s">
        <v>39</v>
      </c>
      <c r="J62" s="10" t="s">
        <v>40</v>
      </c>
      <c r="K62" s="10" t="s">
        <v>41</v>
      </c>
      <c r="L62" s="10" t="s">
        <v>42</v>
      </c>
      <c r="M62" s="10" t="s">
        <v>43</v>
      </c>
      <c r="N62" s="12">
        <f t="shared" si="0"/>
        <v>83.563854751130052</v>
      </c>
      <c r="O62" s="12">
        <f>3*(N62^2)*H62/1000</f>
        <v>30.37569252077563</v>
      </c>
      <c r="P62" s="12">
        <f t="shared" si="2"/>
        <v>30.37569252077563</v>
      </c>
      <c r="Q62" s="12">
        <f t="shared" si="3"/>
        <v>30.37569252077563</v>
      </c>
    </row>
    <row r="63" spans="1:27">
      <c r="B63" s="4"/>
      <c r="C63" s="4"/>
      <c r="D63" s="8"/>
      <c r="G63" s="8"/>
      <c r="I63" s="4"/>
      <c r="J63" s="4"/>
      <c r="K63" s="4"/>
      <c r="L63" s="4"/>
      <c r="M63" s="4"/>
    </row>
    <row r="64" spans="1:27">
      <c r="B64" s="4" t="s">
        <v>65</v>
      </c>
    </row>
    <row r="65" spans="2:8">
      <c r="B65" s="23" t="s">
        <v>66</v>
      </c>
      <c r="G65" s="24"/>
      <c r="H65" s="24"/>
    </row>
    <row r="66" spans="2:8">
      <c r="B66" s="23" t="s">
        <v>67</v>
      </c>
      <c r="G66" s="4"/>
      <c r="H66" s="4"/>
    </row>
    <row r="67" spans="2:8">
      <c r="B67" t="s">
        <v>68</v>
      </c>
      <c r="G67" s="4"/>
      <c r="H67" s="4"/>
    </row>
    <row r="68" spans="2:8">
      <c r="G68" s="4"/>
      <c r="H68" s="4"/>
    </row>
    <row r="69" spans="2:8">
      <c r="B69" t="s">
        <v>69</v>
      </c>
      <c r="G69" s="4"/>
      <c r="H69" s="4"/>
    </row>
    <row r="70" spans="2:8">
      <c r="B70" t="s">
        <v>70</v>
      </c>
      <c r="G70" s="4"/>
      <c r="H70" s="4"/>
    </row>
    <row r="71" spans="2:8">
      <c r="G71" s="4"/>
      <c r="H71" s="4"/>
    </row>
    <row r="75" spans="2:8">
      <c r="B75" t="s">
        <v>71</v>
      </c>
    </row>
    <row r="76" spans="2:8">
      <c r="B76" s="25"/>
      <c r="C76" t="s">
        <v>72</v>
      </c>
    </row>
    <row r="77" spans="2:8">
      <c r="B77" s="26"/>
      <c r="C77" t="s">
        <v>73</v>
      </c>
    </row>
    <row r="78" spans="2:8">
      <c r="B78" s="27"/>
      <c r="C78" t="s">
        <v>44</v>
      </c>
    </row>
    <row r="79" spans="2:8">
      <c r="B79" s="9"/>
      <c r="C79" t="s">
        <v>74</v>
      </c>
    </row>
    <row r="80" spans="2:8">
      <c r="B80" s="28"/>
      <c r="C80" t="s">
        <v>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Electricity grid infrastructure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Amelsfort, D.D.C. van (Daan)</dc:creator>
  <cp:lastModifiedBy>Amelsfort, D.D.C. van (Daan)</cp:lastModifiedBy>
  <dcterms:created xsi:type="dcterms:W3CDTF">2026-01-30T12:59:26Z</dcterms:created>
  <dcterms:modified xsi:type="dcterms:W3CDTF">2026-01-30T13:11:07Z</dcterms:modified>
</cp:coreProperties>
</file>